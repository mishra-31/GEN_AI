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hal\IdeaProjects\GENAI\"/>
    </mc:Choice>
  </mc:AlternateContent>
  <xr:revisionPtr revIDLastSave="0" documentId="13_ncr:1_{0C58F071-E564-425E-A06E-B95D73BB2D0E}" xr6:coauthVersionLast="47" xr6:coauthVersionMax="47" xr10:uidLastSave="{00000000-0000-0000-0000-000000000000}"/>
  <bookViews>
    <workbookView xWindow="-110" yWindow="-110" windowWidth="19420" windowHeight="10300" xr2:uid="{E59EBD01-379F-44BE-81CB-E63353F83993}"/>
  </bookViews>
  <sheets>
    <sheet name="Sheet1" sheetId="1" r:id="rId1"/>
    <sheet name="Generic Line Read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1" i="2"/>
  <c r="G29" i="1"/>
  <c r="G26" i="1"/>
  <c r="G27" i="1"/>
  <c r="G19" i="1"/>
  <c r="G22" i="1"/>
  <c r="G21" i="1"/>
  <c r="G20" i="1"/>
  <c r="G8" i="1"/>
  <c r="G14" i="1"/>
  <c r="G7" i="1"/>
  <c r="G18" i="1"/>
  <c r="G30" i="1"/>
  <c r="G28" i="1"/>
  <c r="G23" i="1"/>
  <c r="G24" i="1"/>
  <c r="G3" i="1"/>
  <c r="G4" i="1"/>
  <c r="G5" i="1"/>
  <c r="G6" i="1"/>
  <c r="G9" i="1"/>
  <c r="G10" i="1"/>
  <c r="G11" i="1"/>
  <c r="G12" i="1"/>
  <c r="G13" i="1"/>
  <c r="G15" i="1"/>
  <c r="G16" i="1"/>
  <c r="G17" i="1"/>
  <c r="G25" i="1"/>
  <c r="D29" i="1"/>
  <c r="E29" i="1" s="1"/>
  <c r="F29" i="1" s="1"/>
  <c r="D26" i="1"/>
  <c r="E26" i="1" s="1"/>
  <c r="F26" i="1" s="1"/>
  <c r="D27" i="1"/>
  <c r="E27" i="1" s="1"/>
  <c r="F27" i="1" s="1"/>
  <c r="D19" i="1"/>
  <c r="E19" i="1" s="1"/>
  <c r="F19" i="1" s="1"/>
  <c r="D22" i="1"/>
  <c r="E22" i="1" s="1"/>
  <c r="F22" i="1" s="1"/>
  <c r="D21" i="1"/>
  <c r="E21" i="1" s="1"/>
  <c r="F21" i="1" s="1"/>
  <c r="D20" i="1"/>
  <c r="E20" i="1" s="1"/>
  <c r="F20" i="1" s="1"/>
  <c r="D8" i="1"/>
  <c r="E8" i="1" s="1"/>
  <c r="F8" i="1" s="1"/>
  <c r="D14" i="1"/>
  <c r="E14" i="1" s="1"/>
  <c r="F14" i="1" s="1"/>
  <c r="D7" i="1"/>
  <c r="E7" i="1" s="1"/>
  <c r="F7" i="1" s="1"/>
  <c r="D18" i="1"/>
  <c r="E18" i="1" s="1"/>
  <c r="F18" i="1" s="1"/>
  <c r="D30" i="1"/>
  <c r="E30" i="1" s="1"/>
  <c r="F30" i="1" s="1"/>
  <c r="D28" i="1"/>
  <c r="E28" i="1" s="1"/>
  <c r="F28" i="1" s="1"/>
  <c r="D23" i="1"/>
  <c r="E23" i="1" s="1"/>
  <c r="F23" i="1" s="1"/>
  <c r="D24" i="1"/>
  <c r="E24" i="1" s="1"/>
  <c r="F24" i="1" s="1"/>
  <c r="D3" i="1"/>
  <c r="E3" i="1" s="1"/>
  <c r="F3" i="1" s="1"/>
  <c r="D4" i="1"/>
  <c r="E4" i="1" s="1"/>
  <c r="F4" i="1" s="1"/>
  <c r="D5" i="1"/>
  <c r="E5" i="1" s="1"/>
  <c r="F5" i="1" s="1"/>
  <c r="D6" i="1"/>
  <c r="E6" i="1" s="1"/>
  <c r="F6" i="1" s="1"/>
  <c r="D9" i="1"/>
  <c r="E9" i="1" s="1"/>
  <c r="F9" i="1" s="1"/>
  <c r="D10" i="1"/>
  <c r="E10" i="1" s="1"/>
  <c r="F10" i="1" s="1"/>
  <c r="D11" i="1"/>
  <c r="E11" i="1" s="1"/>
  <c r="F11" i="1" s="1"/>
  <c r="D12" i="1"/>
  <c r="E12" i="1" s="1"/>
  <c r="F12" i="1" s="1"/>
  <c r="D13" i="1"/>
  <c r="E13" i="1" s="1"/>
  <c r="F13" i="1" s="1"/>
  <c r="D15" i="1"/>
  <c r="E15" i="1" s="1"/>
  <c r="F15" i="1" s="1"/>
  <c r="D16" i="1"/>
  <c r="E16" i="1" s="1"/>
  <c r="F16" i="1" s="1"/>
  <c r="D17" i="1"/>
  <c r="E17" i="1" s="1"/>
  <c r="F17" i="1" s="1"/>
  <c r="D25" i="1"/>
  <c r="E25" i="1" s="1"/>
  <c r="F2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Hall, Andrew</author>
  </authors>
  <commentList>
    <comment ref="B1" authorId="0" shapeId="0" xr:uid="{D6400261-6184-4A31-9880-279190A525FE}">
      <text>
        <r>
          <rPr>
            <b/>
            <sz val="9"/>
            <color indexed="81"/>
            <rFont val="Tahoma"/>
            <family val="2"/>
          </rPr>
          <t>Hall, Andrew:</t>
        </r>
        <r>
          <rPr>
            <sz val="9"/>
            <color indexed="81"/>
            <rFont val="Tahoma"/>
            <family val="2"/>
          </rPr>
          <t xml:space="preserve">
Automatic Field
</t>
        </r>
      </text>
    </comment>
    <comment ref="D1" authorId="0" shapeId="0" xr:uid="{67509AE3-9EBA-43D8-9164-00E4D146A803}">
      <text>
        <r>
          <rPr>
            <b/>
            <sz val="9"/>
            <color indexed="81"/>
            <rFont val="Tahoma"/>
            <family val="2"/>
          </rPr>
          <t>Hall, Andrew:</t>
        </r>
        <r>
          <rPr>
            <sz val="9"/>
            <color indexed="81"/>
            <rFont val="Tahoma"/>
            <family val="2"/>
          </rPr>
          <t xml:space="preserve">
Note the Full Path with no " "</t>
        </r>
      </text>
    </comment>
    <comment ref="C2" authorId="0" shapeId="0" xr:uid="{2EE4F1EF-39A2-423A-8709-DEAABD3E42C1}">
      <text>
        <r>
          <rPr>
            <b/>
            <sz val="9"/>
            <color indexed="81"/>
            <rFont val="Tahoma"/>
            <family val="2"/>
          </rPr>
          <t>Hall, Andrew:</t>
        </r>
        <r>
          <rPr>
            <sz val="9"/>
            <color indexed="81"/>
            <rFont val="Tahoma"/>
            <family val="2"/>
          </rPr>
          <t xml:space="preserve">
First Appearance only</t>
        </r>
      </text>
    </comment>
  </commentList>
</comments>
</file>

<file path=xl/sharedStrings.xml><?xml version="1.0" encoding="utf-8"?>
<sst xmlns="http://schemas.openxmlformats.org/spreadsheetml/2006/main" count="134" uniqueCount="86">
  <si>
    <t>&lt;script type="text/javascript" async="" src="https://ssl.google-analytics.com/ga.js"&gt;&lt;/script&gt;</t>
  </si>
  <si>
    <t>&lt;script crossorigin="" src="https://unpkg.com/react@16.10.1/umd/react.production.min.js"&gt;&lt;/script&gt;</t>
  </si>
  <si>
    <t>&lt;script crossorigin="" src="https://unpkg.com/react-dom@16.10.1/umd/react-dom.production.min.js"&gt;&lt;/script&gt;</t>
  </si>
  <si>
    <t>&lt;script type="text/javascript" src="/resources/config/skye.config.js?v="&gt;&lt;/script&gt;</t>
  </si>
  <si>
    <t>&lt;script type="text/javascript" src="https://lab1-1b18.lab.innoveo.cloud/resources/definition/application/Application/en/us/jquery-3.7.0.min__1691758218000.js"&gt;&lt;/script&gt;</t>
  </si>
  <si>
    <t>&lt;script type="text/javascript" src="https://lab1-1b18.lab.innoveo.cloud/resources/definition/application/Application/en/us/custom__1691758218000.js"&gt;&lt;/script&gt;</t>
  </si>
  <si>
    <t>&lt;link rel="stylesheet" href="/resources/base/print.css" type="text/css" media="print"/&gt;</t>
  </si>
  <si>
    <t>&lt;link rel="stylesheet" href="/resources/theme/fontawesome.css" type="text/css"/&gt;</t>
  </si>
  <si>
    <t>&lt;link rel="stylesheet" href="/resources/theme/flag-icon.css" type="text/css"/&gt;</t>
  </si>
  <si>
    <t>&lt;link rel="stylesheet" href="/resources/theme/foundation/foundation.css" type="text/css"/&gt;</t>
  </si>
  <si>
    <t>&lt;link rel="stylesheet" href="/resources/skye.client.css?v=" type="text/css" media="all"/&gt;</t>
  </si>
  <si>
    <t>&lt;link rel="stylesheet" href="https://lab1-1b18.lab.innoveo.cloud/resources/definition/application/Application/en/us/custom-private%20Experimenter__1691758218000.css" type="text/css" media="all"/&gt;</t>
  </si>
  <si>
    <t>&lt;link rel="preload" href="/resources/theme/fontawesome5.11.2/webfonts/fa-light-300.woff2" as="font" type="font/woff2" crossorigin=""/&gt;</t>
  </si>
  <si>
    <t>&lt;link rel="preload" href="/resources/theme/fontawesome5.11.2/webfonts/fa-solid-900.woff2" as="font" type="font/woff2" crossorigin=""/&gt;</t>
  </si>
  <si>
    <t>&lt;link rel="preload" href="/resources/theme/fontawesome5.11.2/webfonts/fa-regular-400.woff2" as="font" type="font/woff2" crossorigin=""/&gt;</t>
  </si>
  <si>
    <t>&lt;link rel="icon" type="image/png" href="https://lab1-1b18.lab.innoveo.cloud/resources/definition/application/Application/en/us/K__1691758218000.png"/&gt;</t>
  </si>
  <si>
    <t>&lt;link rel="stylesheet" type="text/css" href="https://lab1-1b18.lab.innoveo.cloud/resources/117.chunk.0afc6605f9.css"/&gt;</t>
  </si>
  <si>
    <t>&lt;link rel="stylesheet" type="text/css" href="https://lab1-1b18.lab.innoveo.cloud/resources/8587.chunk.0afc6605f9.css"/&gt;</t>
  </si>
  <si>
    <t>&lt;link rel="stylesheet" type="text/css" href="https://lab1-1b18.lab.innoveo.cloud/resources/6062.chunk.0afc6605f9.css"/&gt;</t>
  </si>
  <si>
    <t>&lt;link rel="stylesheet" type="text/css" href="https://lab1-1b18.lab.innoveo.cloud/resources/5513.chunk.0afc6605f9.css"/&gt;</t>
  </si>
  <si>
    <t>&lt;img class="sk-logo-1" src="https://lab1-1b18.lab.innoveo.cloud/resources/definition/zonedefinition/ZoneDefinition/en/us/Kemper_Logo_Color_Web__1692172077000.jpg" alt="Primary logo" title="Primary logo"/&gt;</t>
  </si>
  <si>
    <t>&lt;img class="sk-search-image" src="/resources/theme/freetextsearch/search-image.svg" alt="Search image"/&gt;</t>
  </si>
  <si>
    <t>&lt;a id="sk-logout" class="sk-logout" href="https://lab1-1b18.lab.innoveo.cloud/experiment/en/US/idpLogout" title="" tabindex="-1"&gt;</t>
  </si>
  <si>
    <t>&lt;a href="https://lab1-1b18.lab.innoveo.cloud/page/experiment/en/us/process/enter/KemperGenAIProcess?productId=KemperGenAIProduct&amp;amp;activeZone=MyZone"&gt;</t>
  </si>
  <si>
    <t>&lt;img src=" https://lab1-1b18.lab.innoveo.cloud/resources/definition/product/KemperGenAIProduct/en/us/TableDivider__1692170509000.png" alt="Sea"/&gt;</t>
  </si>
  <si>
    <t>&lt;link rel="stylesheet" href="https://cdnjs.cloudflare.com/ajax/libs/font-awesome/4.7.0/css/font-awesome.min.css"/&gt;</t>
  </si>
  <si>
    <t>&lt;img src=" https://lab1-1b18.lab.innoveo.cloud/resources/definition/product/KemperGenAIProduct/en/us/Sea__1692170509000.jpg" alt="Sea"/&gt;</t>
  </si>
  <si>
    <t>Src Text</t>
  </si>
  <si>
    <t>Right</t>
  </si>
  <si>
    <t>Link /File</t>
  </si>
  <si>
    <t>Left</t>
  </si>
  <si>
    <t>"</t>
  </si>
  <si>
    <t>stylesheet</t>
  </si>
  <si>
    <t>preload</t>
  </si>
  <si>
    <t>image</t>
  </si>
  <si>
    <t>Link Text</t>
  </si>
  <si>
    <t>https://cdnjs.cloudflare.com/ajax/libs/font-awesome/4.7.0/css/font-awesome.min.css</t>
  </si>
  <si>
    <t>https://lab1-1b18.lab.innoveo.cloud/experiment/en/US/idpLogout</t>
  </si>
  <si>
    <t>https://lab1-1b18.lab.innoveo.cloud/page/experiment/en/us/process/enter/KemperGenAIProcess?productId=KemperGenAIProduct&amp;amp;activeZone=MyZone</t>
  </si>
  <si>
    <t>https://lab1-1b18.lab.innoveo.cloud/resources/117.chunk.0afc6605f9.css</t>
  </si>
  <si>
    <t>https://lab1-1b18.lab.innoveo.cloud/resources/5513.chunk.0afc6605f9.css</t>
  </si>
  <si>
    <t>https://lab1-1b18.lab.innoveo.cloud/resources/6062.chunk.0afc6605f9.css</t>
  </si>
  <si>
    <t>https://lab1-1b18.lab.innoveo.cloud/resources/8587.chunk.0afc6605f9.css</t>
  </si>
  <si>
    <t>https://lab1-1b18.lab.innoveo.cloud/resources/definition/application/Application/en/us/custom__1691758218000.js</t>
  </si>
  <si>
    <t>https://lab1-1b18.lab.innoveo.cloud/resources/definition/application/Application/en/us/custom-private%20Experimenter__1691758218000.css</t>
  </si>
  <si>
    <t>https://lab1-1b18.lab.innoveo.cloud/resources/definition/application/Application/en/us/jquery-3.7.0.min__1691758218000.js</t>
  </si>
  <si>
    <t>https://lab1-1b18.lab.innoveo.cloud/resources/definition/application/Application/en/us/K__1691758218000.png</t>
  </si>
  <si>
    <t>https://lab1-1b18.lab.innoveo.cloud/resources/definition/product/KemperGenAIProduct/en/us/Sea__1692170509000.jpg</t>
  </si>
  <si>
    <t>https://lab1-1b18.lab.innoveo.cloud/resources/definition/product/KemperGenAIProduct/en/us/TableDivider__1692170509000.png</t>
  </si>
  <si>
    <t>https://lab1-1b18.lab.innoveo.cloud/resources/definition/zonedefinition/ZoneDefinition/en/us/Kemper_Logo_Color_Web__1692172077000.jpg</t>
  </si>
  <si>
    <t>https://ssl.google-analytics.com/ga.js</t>
  </si>
  <si>
    <t>https://unpkg.com/react@16.10.1/umd/react.production.min.js</t>
  </si>
  <si>
    <t>https://unpkg.com/react-dom@16.10.1/umd/react-dom.production.min.js</t>
  </si>
  <si>
    <t>/resources/config/skye.config.js?v=</t>
  </si>
  <si>
    <t>/resources/base/print.css</t>
  </si>
  <si>
    <t>/resources/theme/fontawesome.css</t>
  </si>
  <si>
    <t>/resources/theme/flag-icon.css</t>
  </si>
  <si>
    <t>/resources/theme/foundation/foundation.css</t>
  </si>
  <si>
    <t>/resources/skye.client.css?v=</t>
  </si>
  <si>
    <t>/resources/theme/fontawesome5.11.2/webfonts/fa-light-300.woff2</t>
  </si>
  <si>
    <t>/resources/theme/fontawesome5.11.2/webfonts/fa-solid-900.woff2</t>
  </si>
  <si>
    <t>/resources/theme/fontawesome5.11.2/webfonts/fa-regular-400.woff2</t>
  </si>
  <si>
    <t>/resources/theme/freetextsearch/search-image.svg</t>
  </si>
  <si>
    <t>Type</t>
  </si>
  <si>
    <t>text/javascript</t>
  </si>
  <si>
    <t>image - icon</t>
  </si>
  <si>
    <t>sk.logout</t>
  </si>
  <si>
    <t>script corssdesign</t>
  </si>
  <si>
    <t>Innoveo</t>
  </si>
  <si>
    <t>Line Number</t>
  </si>
  <si>
    <t>Count</t>
  </si>
  <si>
    <t>&lt;img class="sk-logo-2" src="https://lab1-1b18.lab.innoveo.cloud/resources/definition/zonedefinition/ZoneDefinition/en/us/Kemper_Logo_Color_Web__1692172077000.jpg" alt="Secondary logo" title="Secondary logo"/&gt;</t>
  </si>
  <si>
    <t>Find Line</t>
  </si>
  <si>
    <t>Line #</t>
  </si>
  <si>
    <t>File Path</t>
  </si>
  <si>
    <t>C:\Users\andrehal\IdeaProjects\GENAI\sdlc_demo\src\components\KemperParse.txt</t>
  </si>
  <si>
    <t>head</t>
  </si>
  <si>
    <t>charset="utf-8"</t>
  </si>
  <si>
    <t>purpose</t>
  </si>
  <si>
    <t>Area</t>
  </si>
  <si>
    <t>Primary Logo</t>
  </si>
  <si>
    <t>Secondary Logo</t>
  </si>
  <si>
    <t>Search Image</t>
  </si>
  <si>
    <t>Sea</t>
  </si>
  <si>
    <t>Table devider</t>
  </si>
  <si>
    <t>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</si>
</sst>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2" borderId="0" xfId="0" applyFill="1"/>
    <xf numFmtId="0" fontId="0" fillId="4" borderId="0" xfId="0" applyFill="1"/>
    <xf numFmtId="0" fontId="0" fillId="5" borderId="0" xfId="0" applyFill="1"/>
    <xf numFmtId="1" fontId="0" fillId="3" borderId="0" xfId="0" applyNumberFormat="1" applyFill="1"/>
  </cellXfs>
  <cellStyles count="1">
    <cellStyle name="Normal" xfId="0" builtinId="0"/>
  </cellStyles>
  <dxfs count="15"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9D6A5E-674D-478A-9339-84DFAC2647D5}" name="Table2" displayName="Table2" ref="B2:K30" totalsRowShown="0" headerRowDxfId="14">
  <autoFilter ref="B2:K30" xr:uid="{B59D6A5E-674D-478A-9339-84DFAC2647D5}"/>
  <sortState xmlns:xlrd2="http://schemas.microsoft.com/office/spreadsheetml/2017/richdata2" ref="B3:J30">
    <sortCondition ref="C2:C30"/>
  </sortState>
  <tableColumns count="10">
    <tableColumn id="1" xr3:uid="{57A40596-6EEB-4542-996C-37A37206FE27}" name="Src Text" dataDxfId="12"/>
    <tableColumn id="9" xr3:uid="{85486B3C-A33C-4766-B59B-48018632CBC5}" name="Line Number" dataDxfId="6"/>
    <tableColumn id="3" xr3:uid="{BF5C9438-A172-4D89-B004-84C358DAC028}" name="Link /File" dataDxfId="10">
      <calculatedColumnFormula>IF(ISNUMBER(FIND("http",Table2[[#This Row],[Src Text]])),"link","file")</calculatedColumnFormula>
    </tableColumn>
    <tableColumn id="2" xr3:uid="{1F7A405C-E93B-4952-AF8F-389E4C958159}" name="Right" dataDxfId="11">
      <calculatedColumnFormula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calculatedColumnFormula>
    </tableColumn>
    <tableColumn id="4" xr3:uid="{B76327EA-DC32-4D80-92A1-8902AC09B228}" name="Left" dataDxfId="13">
      <calculatedColumnFormula>LEFT(Table2[[#This Row],[Right]],FIND(E$1,Table2[[#This Row],[Right]])-1)</calculatedColumnFormula>
    </tableColumn>
    <tableColumn id="8" xr3:uid="{45F7BC9E-C0A7-43F2-8668-210FC4A5C2D0}" name="Innoveo" dataDxfId="7">
      <calculatedColumnFormula>ISNUMBER(SEARCH("innoveo",Table2[[#This Row],[Src Text]]))</calculatedColumnFormula>
    </tableColumn>
    <tableColumn id="6" xr3:uid="{60D0C11E-E101-4881-83FB-4B027697C6F0}" name="Link Text" dataDxfId="8"/>
    <tableColumn id="11" xr3:uid="{DA538E58-C8B7-4696-B8F3-2B071A87592F}" name="Area" dataDxfId="4"/>
    <tableColumn id="5" xr3:uid="{543EB41F-DD57-48EC-B61B-CB006D4891A3}" name="Type" dataDxfId="9"/>
    <tableColumn id="10" xr3:uid="{817B7951-1EF9-4157-824C-870F0EFF4022}" name="purpose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6735371-B683-46B1-AA75-23BB42BB02BA}" name="Table3" displayName="Table3" ref="B2:C4" totalsRowShown="0">
  <autoFilter ref="B2:C4" xr:uid="{C6735371-B683-46B1-AA75-23BB42BB02BA}"/>
  <tableColumns count="2">
    <tableColumn id="1" xr3:uid="{77EF39C4-3FAF-4A93-9FD3-104B2B60D101}" name="Find Line"/>
    <tableColumn id="2" xr3:uid="{2AC81D4B-5171-485E-A5A3-B6F717E2631D}" name="Line #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95A7-0C69-45B7-A05E-D510B8E5ECD0}">
  <sheetPr codeName="Sheet1"/>
  <dimension ref="A1:K30"/>
  <sheetViews>
    <sheetView tabSelected="1" topLeftCell="A13" zoomScaleNormal="100" workbookViewId="0">
      <selection activeCell="I23" sqref="I23:I26"/>
    </sheetView>
  </sheetViews>
  <sheetFormatPr defaultRowHeight="14.5" x14ac:dyDescent="0.35"/>
  <cols>
    <col min="1" max="1" width="8.7265625" style="1"/>
    <col min="2" max="2" width="16" style="1" customWidth="1"/>
    <col min="3" max="3" width="12.81640625" style="3" bestFit="1" customWidth="1"/>
    <col min="4" max="4" width="10.453125" style="2" customWidth="1"/>
    <col min="5" max="5" width="24.36328125" style="2" hidden="1" customWidth="1"/>
    <col min="6" max="6" width="9.90625" style="2" hidden="1" customWidth="1"/>
    <col min="7" max="7" width="11.36328125" style="2" customWidth="1"/>
    <col min="8" max="8" width="28.08984375" style="1" customWidth="1"/>
    <col min="9" max="9" width="15.54296875" style="1" customWidth="1"/>
    <col min="10" max="10" width="15.54296875" style="1" bestFit="1" customWidth="1"/>
    <col min="11" max="16384" width="8.7265625" style="1"/>
  </cols>
  <sheetData>
    <row r="1" spans="1:11" x14ac:dyDescent="0.35">
      <c r="A1" s="4" t="s">
        <v>70</v>
      </c>
      <c r="B1" s="7">
        <f>COUNTA(Table2[Src Text])</f>
        <v>28</v>
      </c>
      <c r="C1" s="5" t="s">
        <v>74</v>
      </c>
      <c r="D1" s="6" t="s">
        <v>75</v>
      </c>
      <c r="E1" s="2" t="s">
        <v>31</v>
      </c>
    </row>
    <row r="2" spans="1:11" x14ac:dyDescent="0.35">
      <c r="B2" s="1" t="s">
        <v>27</v>
      </c>
      <c r="C2" s="1" t="s">
        <v>69</v>
      </c>
      <c r="D2" s="3" t="s">
        <v>29</v>
      </c>
      <c r="E2" s="2" t="s">
        <v>28</v>
      </c>
      <c r="F2" s="2" t="s">
        <v>30</v>
      </c>
      <c r="G2" s="2" t="s">
        <v>68</v>
      </c>
      <c r="H2" s="2" t="s">
        <v>35</v>
      </c>
      <c r="I2" s="2" t="s">
        <v>79</v>
      </c>
      <c r="J2" s="1" t="s">
        <v>63</v>
      </c>
      <c r="K2" s="1" t="s">
        <v>78</v>
      </c>
    </row>
    <row r="3" spans="1:11" x14ac:dyDescent="0.35">
      <c r="B3" s="1" t="s">
        <v>0</v>
      </c>
      <c r="C3" s="2">
        <v>10</v>
      </c>
      <c r="D3" s="3" t="str">
        <f>IF(ISNUMBER(FIND("http",Table2[[#This Row],[Src Text]])),"link","file")</f>
        <v>link</v>
      </c>
      <c r="E3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https://ssl.google-analytics.com/ga.js"&gt;&lt;/script&gt;</v>
      </c>
      <c r="F3" s="2" t="str">
        <f>LEFT(Table2[[#This Row],[Right]],FIND(E$1,Table2[[#This Row],[Right]])-1)</f>
        <v>https://ssl.google-analytics.com/ga.js</v>
      </c>
      <c r="G3" s="2" t="b">
        <f>ISNUMBER(SEARCH("innoveo",Table2[[#This Row],[Src Text]]))</f>
        <v>0</v>
      </c>
      <c r="H3" s="2" t="s">
        <v>50</v>
      </c>
      <c r="I3" s="2" t="s">
        <v>76</v>
      </c>
      <c r="J3" s="1" t="s">
        <v>64</v>
      </c>
      <c r="K3" s="2"/>
    </row>
    <row r="4" spans="1:11" x14ac:dyDescent="0.35">
      <c r="B4" s="1" t="s">
        <v>1</v>
      </c>
      <c r="C4" s="2">
        <v>19</v>
      </c>
      <c r="D4" s="3" t="str">
        <f>IF(ISNUMBER(FIND("http",Table2[[#This Row],[Src Text]])),"link","file")</f>
        <v>link</v>
      </c>
      <c r="E4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https://unpkg.com/react@16.10.1/umd/react.production.min.js"&gt;&lt;/script&gt;</v>
      </c>
      <c r="F4" s="2" t="str">
        <f>LEFT(Table2[[#This Row],[Right]],FIND(E$1,Table2[[#This Row],[Right]])-1)</f>
        <v>https://unpkg.com/react@16.10.1/umd/react.production.min.js</v>
      </c>
      <c r="G4" s="2" t="b">
        <f>ISNUMBER(SEARCH("innoveo",Table2[[#This Row],[Src Text]]))</f>
        <v>0</v>
      </c>
      <c r="H4" s="2" t="s">
        <v>51</v>
      </c>
      <c r="I4" s="2" t="s">
        <v>76</v>
      </c>
      <c r="J4" s="1" t="s">
        <v>67</v>
      </c>
      <c r="K4" s="2"/>
    </row>
    <row r="5" spans="1:11" x14ac:dyDescent="0.35">
      <c r="B5" s="1" t="s">
        <v>2</v>
      </c>
      <c r="C5" s="2">
        <v>20</v>
      </c>
      <c r="D5" s="3" t="str">
        <f>IF(ISNUMBER(FIND("http",Table2[[#This Row],[Src Text]])),"link","file")</f>
        <v>link</v>
      </c>
      <c r="E5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https://unpkg.com/react-dom@16.10.1/umd/react-dom.production.min.js"&gt;&lt;/script&gt;</v>
      </c>
      <c r="F5" s="2" t="str">
        <f>LEFT(Table2[[#This Row],[Right]],FIND(E$1,Table2[[#This Row],[Right]])-1)</f>
        <v>https://unpkg.com/react-dom@16.10.1/umd/react-dom.production.min.js</v>
      </c>
      <c r="G5" s="2" t="b">
        <f>ISNUMBER(SEARCH("innoveo",Table2[[#This Row],[Src Text]]))</f>
        <v>0</v>
      </c>
      <c r="H5" s="2" t="s">
        <v>52</v>
      </c>
      <c r="I5" s="2" t="s">
        <v>76</v>
      </c>
      <c r="J5" s="1" t="s">
        <v>67</v>
      </c>
      <c r="K5" s="2"/>
    </row>
    <row r="6" spans="1:11" x14ac:dyDescent="0.35">
      <c r="B6" s="1" t="s">
        <v>3</v>
      </c>
      <c r="C6" s="2">
        <v>21</v>
      </c>
      <c r="D6" s="3" t="str">
        <f>IF(ISNUMBER(FIND("http",Table2[[#This Row],[Src Text]])),"link","file")</f>
        <v>file</v>
      </c>
      <c r="E6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/resources/config/skye.config.js?v="&gt;&lt;/script&gt;</v>
      </c>
      <c r="F6" s="2" t="str">
        <f>LEFT(Table2[[#This Row],[Right]],FIND(E$1,Table2[[#This Row],[Right]])-1)</f>
        <v>/resources/config/skye.config.js?v=</v>
      </c>
      <c r="G6" s="2" t="b">
        <f>ISNUMBER(SEARCH("innoveo",Table2[[#This Row],[Src Text]]))</f>
        <v>0</v>
      </c>
      <c r="H6" s="2" t="s">
        <v>53</v>
      </c>
      <c r="I6" s="2" t="s">
        <v>76</v>
      </c>
      <c r="J6" s="1" t="s">
        <v>64</v>
      </c>
      <c r="K6" s="2"/>
    </row>
    <row r="7" spans="1:11" x14ac:dyDescent="0.35">
      <c r="B7" s="1" t="s">
        <v>4</v>
      </c>
      <c r="C7" s="2">
        <v>22</v>
      </c>
      <c r="D7" s="3" t="str">
        <f>IF(ISNUMBER(FIND("http",Table2[[#This Row],[Src Text]])),"link","file")</f>
        <v>link</v>
      </c>
      <c r="E7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https://lab1-1b18.lab.innoveo.cloud/resources/definition/application/Application/en/us/jquery-3.7.0.min__1691758218000.js"&gt;&lt;/script&gt;</v>
      </c>
      <c r="F7" s="2" t="str">
        <f>LEFT(Table2[[#This Row],[Right]],FIND(E$1,Table2[[#This Row],[Right]])-1)</f>
        <v>https://lab1-1b18.lab.innoveo.cloud/resources/definition/application/Application/en/us/jquery-3.7.0.min__1691758218000.js</v>
      </c>
      <c r="G7" s="2" t="b">
        <f>ISNUMBER(SEARCH("innoveo",Table2[[#This Row],[Src Text]]))</f>
        <v>1</v>
      </c>
      <c r="H7" s="2" t="s">
        <v>45</v>
      </c>
      <c r="I7" s="2" t="s">
        <v>76</v>
      </c>
      <c r="J7" s="1" t="s">
        <v>64</v>
      </c>
      <c r="K7" s="2"/>
    </row>
    <row r="8" spans="1:11" x14ac:dyDescent="0.35">
      <c r="B8" s="1" t="s">
        <v>5</v>
      </c>
      <c r="C8" s="2">
        <v>23</v>
      </c>
      <c r="D8" s="3" t="str">
        <f>IF(ISNUMBER(FIND("http",Table2[[#This Row],[Src Text]])),"link","file")</f>
        <v>link</v>
      </c>
      <c r="E8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https://lab1-1b18.lab.innoveo.cloud/resources/definition/application/Application/en/us/custom__1691758218000.js"&gt;&lt;/script&gt;</v>
      </c>
      <c r="F8" s="2" t="str">
        <f>LEFT(Table2[[#This Row],[Right]],FIND(E$1,Table2[[#This Row],[Right]])-1)</f>
        <v>https://lab1-1b18.lab.innoveo.cloud/resources/definition/application/Application/en/us/custom__1691758218000.js</v>
      </c>
      <c r="G8" s="2" t="b">
        <f>ISNUMBER(SEARCH("innoveo",Table2[[#This Row],[Src Text]]))</f>
        <v>1</v>
      </c>
      <c r="H8" s="2" t="s">
        <v>43</v>
      </c>
      <c r="I8" s="2" t="s">
        <v>76</v>
      </c>
      <c r="J8" s="1" t="s">
        <v>64</v>
      </c>
      <c r="K8" s="2"/>
    </row>
    <row r="9" spans="1:11" x14ac:dyDescent="0.35">
      <c r="B9" s="1" t="s">
        <v>6</v>
      </c>
      <c r="C9" s="2">
        <v>24</v>
      </c>
      <c r="D9" s="3" t="str">
        <f>IF(ISNUMBER(FIND("http",Table2[[#This Row],[Src Text]])),"link","file")</f>
        <v>file</v>
      </c>
      <c r="E9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/resources/base/print.css" type="text/css" media="print"/&gt;</v>
      </c>
      <c r="F9" s="2" t="str">
        <f>LEFT(Table2[[#This Row],[Right]],FIND(E$1,Table2[[#This Row],[Right]])-1)</f>
        <v>/resources/base/print.css</v>
      </c>
      <c r="G9" s="2" t="b">
        <f>ISNUMBER(SEARCH("innoveo",Table2[[#This Row],[Src Text]]))</f>
        <v>0</v>
      </c>
      <c r="H9" s="2" t="s">
        <v>54</v>
      </c>
      <c r="I9" s="2" t="s">
        <v>76</v>
      </c>
      <c r="J9" s="1" t="s">
        <v>32</v>
      </c>
      <c r="K9" s="2"/>
    </row>
    <row r="10" spans="1:11" x14ac:dyDescent="0.35">
      <c r="B10" s="1" t="s">
        <v>7</v>
      </c>
      <c r="C10" s="2">
        <v>25</v>
      </c>
      <c r="D10" s="3" t="str">
        <f>IF(ISNUMBER(FIND("http",Table2[[#This Row],[Src Text]])),"link","file")</f>
        <v>file</v>
      </c>
      <c r="E10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/resources/theme/fontawesome.css" type="text/css"/&gt;</v>
      </c>
      <c r="F10" s="2" t="str">
        <f>LEFT(Table2[[#This Row],[Right]],FIND(E$1,Table2[[#This Row],[Right]])-1)</f>
        <v>/resources/theme/fontawesome.css</v>
      </c>
      <c r="G10" s="2" t="b">
        <f>ISNUMBER(SEARCH("innoveo",Table2[[#This Row],[Src Text]]))</f>
        <v>0</v>
      </c>
      <c r="H10" s="2" t="s">
        <v>55</v>
      </c>
      <c r="I10" s="2" t="s">
        <v>76</v>
      </c>
      <c r="J10" s="1" t="s">
        <v>32</v>
      </c>
      <c r="K10" s="2"/>
    </row>
    <row r="11" spans="1:11" x14ac:dyDescent="0.35">
      <c r="B11" s="1" t="s">
        <v>8</v>
      </c>
      <c r="C11" s="2">
        <v>26</v>
      </c>
      <c r="D11" s="3" t="str">
        <f>IF(ISNUMBER(FIND("http",Table2[[#This Row],[Src Text]])),"link","file")</f>
        <v>file</v>
      </c>
      <c r="E11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/resources/theme/flag-icon.css" type="text/css"/&gt;</v>
      </c>
      <c r="F11" s="2" t="str">
        <f>LEFT(Table2[[#This Row],[Right]],FIND(E$1,Table2[[#This Row],[Right]])-1)</f>
        <v>/resources/theme/flag-icon.css</v>
      </c>
      <c r="G11" s="2" t="b">
        <f>ISNUMBER(SEARCH("innoveo",Table2[[#This Row],[Src Text]]))</f>
        <v>0</v>
      </c>
      <c r="H11" s="2" t="s">
        <v>56</v>
      </c>
      <c r="I11" s="2" t="s">
        <v>76</v>
      </c>
      <c r="J11" s="1" t="s">
        <v>32</v>
      </c>
      <c r="K11" s="2"/>
    </row>
    <row r="12" spans="1:11" x14ac:dyDescent="0.35">
      <c r="B12" s="1" t="s">
        <v>9</v>
      </c>
      <c r="C12" s="2">
        <v>27</v>
      </c>
      <c r="D12" s="3" t="str">
        <f>IF(ISNUMBER(FIND("http",Table2[[#This Row],[Src Text]])),"link","file")</f>
        <v>file</v>
      </c>
      <c r="E12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/resources/theme/foundation/foundation.css" type="text/css"/&gt;</v>
      </c>
      <c r="F12" s="2" t="str">
        <f>LEFT(Table2[[#This Row],[Right]],FIND(E$1,Table2[[#This Row],[Right]])-1)</f>
        <v>/resources/theme/foundation/foundation.css</v>
      </c>
      <c r="G12" s="2" t="b">
        <f>ISNUMBER(SEARCH("innoveo",Table2[[#This Row],[Src Text]]))</f>
        <v>0</v>
      </c>
      <c r="H12" s="2" t="s">
        <v>57</v>
      </c>
      <c r="I12" s="2" t="s">
        <v>76</v>
      </c>
      <c r="J12" s="1" t="s">
        <v>32</v>
      </c>
      <c r="K12" s="2"/>
    </row>
    <row r="13" spans="1:11" x14ac:dyDescent="0.35">
      <c r="B13" s="1" t="s">
        <v>10</v>
      </c>
      <c r="C13" s="2">
        <v>28</v>
      </c>
      <c r="D13" s="3" t="str">
        <f>IF(ISNUMBER(FIND("http",Table2[[#This Row],[Src Text]])),"link","file")</f>
        <v>file</v>
      </c>
      <c r="E13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/resources/skye.client.css?v=" type="text/css" media="all"/&gt;</v>
      </c>
      <c r="F13" s="2" t="str">
        <f>LEFT(Table2[[#This Row],[Right]],FIND(E$1,Table2[[#This Row],[Right]])-1)</f>
        <v>/resources/skye.client.css?v=</v>
      </c>
      <c r="G13" s="2" t="b">
        <f>ISNUMBER(SEARCH("innoveo",Table2[[#This Row],[Src Text]]))</f>
        <v>0</v>
      </c>
      <c r="H13" s="2" t="s">
        <v>58</v>
      </c>
      <c r="I13" s="2" t="s">
        <v>76</v>
      </c>
      <c r="J13" s="1" t="s">
        <v>32</v>
      </c>
      <c r="K13" s="2"/>
    </row>
    <row r="14" spans="1:11" x14ac:dyDescent="0.35">
      <c r="B14" s="1" t="s">
        <v>11</v>
      </c>
      <c r="C14" s="2">
        <v>29</v>
      </c>
      <c r="D14" s="3" t="str">
        <f>IF(ISNUMBER(FIND("http",Table2[[#This Row],[Src Text]])),"link","file")</f>
        <v>link</v>
      </c>
      <c r="E14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https://lab1-1b18.lab.innoveo.cloud/resources/definition/application/Application/en/us/custom-private%20Experimenter__1691758218000.css" type="text/css" media="all"/&gt;</v>
      </c>
      <c r="F14" s="2" t="str">
        <f>LEFT(Table2[[#This Row],[Right]],FIND(E$1,Table2[[#This Row],[Right]])-1)</f>
        <v>https://lab1-1b18.lab.innoveo.cloud/resources/definition/application/Application/en/us/custom-private%20Experimenter__1691758218000.css</v>
      </c>
      <c r="G14" s="2" t="b">
        <f>ISNUMBER(SEARCH("innoveo",Table2[[#This Row],[Src Text]]))</f>
        <v>1</v>
      </c>
      <c r="H14" s="2" t="s">
        <v>44</v>
      </c>
      <c r="I14" s="2" t="s">
        <v>76</v>
      </c>
      <c r="J14" s="1" t="s">
        <v>32</v>
      </c>
      <c r="K14" s="2"/>
    </row>
    <row r="15" spans="1:11" x14ac:dyDescent="0.35">
      <c r="B15" s="1" t="s">
        <v>12</v>
      </c>
      <c r="C15" s="2">
        <v>30</v>
      </c>
      <c r="D15" s="3" t="str">
        <f>IF(ISNUMBER(FIND("http",Table2[[#This Row],[Src Text]])),"link","file")</f>
        <v>file</v>
      </c>
      <c r="E15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/resources/theme/fontawesome5.11.2/webfonts/fa-light-300.woff2" as="font" type="font/woff2" crossorigin=""/&gt;</v>
      </c>
      <c r="F15" s="2" t="str">
        <f>LEFT(Table2[[#This Row],[Right]],FIND(E$1,Table2[[#This Row],[Right]])-1)</f>
        <v>/resources/theme/fontawesome5.11.2/webfonts/fa-light-300.woff2</v>
      </c>
      <c r="G15" s="2" t="b">
        <f>ISNUMBER(SEARCH("innoveo",Table2[[#This Row],[Src Text]]))</f>
        <v>0</v>
      </c>
      <c r="H15" s="2" t="s">
        <v>59</v>
      </c>
      <c r="I15" s="2" t="s">
        <v>76</v>
      </c>
      <c r="J15" s="1" t="s">
        <v>33</v>
      </c>
      <c r="K15" s="2"/>
    </row>
    <row r="16" spans="1:11" x14ac:dyDescent="0.35">
      <c r="B16" s="1" t="s">
        <v>13</v>
      </c>
      <c r="C16" s="2">
        <v>31</v>
      </c>
      <c r="D16" s="3" t="str">
        <f>IF(ISNUMBER(FIND("http",Table2[[#This Row],[Src Text]])),"link","file")</f>
        <v>file</v>
      </c>
      <c r="E16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/resources/theme/fontawesome5.11.2/webfonts/fa-solid-900.woff2" as="font" type="font/woff2" crossorigin=""/&gt;</v>
      </c>
      <c r="F16" s="2" t="str">
        <f>LEFT(Table2[[#This Row],[Right]],FIND(E$1,Table2[[#This Row],[Right]])-1)</f>
        <v>/resources/theme/fontawesome5.11.2/webfonts/fa-solid-900.woff2</v>
      </c>
      <c r="G16" s="2" t="b">
        <f>ISNUMBER(SEARCH("innoveo",Table2[[#This Row],[Src Text]]))</f>
        <v>0</v>
      </c>
      <c r="H16" s="2" t="s">
        <v>60</v>
      </c>
      <c r="I16" s="2" t="s">
        <v>76</v>
      </c>
      <c r="J16" s="1" t="s">
        <v>33</v>
      </c>
      <c r="K16" s="2"/>
    </row>
    <row r="17" spans="2:11" x14ac:dyDescent="0.35">
      <c r="B17" s="1" t="s">
        <v>14</v>
      </c>
      <c r="C17" s="2">
        <v>32</v>
      </c>
      <c r="D17" s="3" t="str">
        <f>IF(ISNUMBER(FIND("http",Table2[[#This Row],[Src Text]])),"link","file")</f>
        <v>file</v>
      </c>
      <c r="E17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/resources/theme/fontawesome5.11.2/webfonts/fa-regular-400.woff2" as="font" type="font/woff2" crossorigin=""/&gt;</v>
      </c>
      <c r="F17" s="2" t="str">
        <f>LEFT(Table2[[#This Row],[Right]],FIND(E$1,Table2[[#This Row],[Right]])-1)</f>
        <v>/resources/theme/fontawesome5.11.2/webfonts/fa-regular-400.woff2</v>
      </c>
      <c r="G17" s="2" t="b">
        <f>ISNUMBER(SEARCH("innoveo",Table2[[#This Row],[Src Text]]))</f>
        <v>0</v>
      </c>
      <c r="H17" s="2" t="s">
        <v>61</v>
      </c>
      <c r="I17" s="2" t="s">
        <v>76</v>
      </c>
      <c r="J17" s="1" t="s">
        <v>33</v>
      </c>
      <c r="K17" s="2"/>
    </row>
    <row r="18" spans="2:11" x14ac:dyDescent="0.35">
      <c r="B18" s="1" t="s">
        <v>15</v>
      </c>
      <c r="C18" s="2">
        <v>34</v>
      </c>
      <c r="D18" s="3" t="str">
        <f>IF(ISNUMBER(FIND("http",Table2[[#This Row],[Src Text]])),"link","file")</f>
        <v>link</v>
      </c>
      <c r="E18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https://lab1-1b18.lab.innoveo.cloud/resources/definition/application/Application/en/us/K__1691758218000.png"/&gt;</v>
      </c>
      <c r="F18" s="2" t="str">
        <f>LEFT(Table2[[#This Row],[Right]],FIND(E$1,Table2[[#This Row],[Right]])-1)</f>
        <v>https://lab1-1b18.lab.innoveo.cloud/resources/definition/application/Application/en/us/K__1691758218000.png</v>
      </c>
      <c r="G18" s="2" t="b">
        <f>ISNUMBER(SEARCH("innoveo",Table2[[#This Row],[Src Text]]))</f>
        <v>1</v>
      </c>
      <c r="H18" s="2" t="s">
        <v>46</v>
      </c>
      <c r="I18" s="2" t="s">
        <v>76</v>
      </c>
      <c r="J18" s="1" t="s">
        <v>65</v>
      </c>
      <c r="K18" s="2"/>
    </row>
    <row r="19" spans="2:11" x14ac:dyDescent="0.35">
      <c r="B19" s="1" t="s">
        <v>16</v>
      </c>
      <c r="C19" s="2">
        <v>47</v>
      </c>
      <c r="D19" s="3" t="str">
        <f>IF(ISNUMBER(FIND("http",Table2[[#This Row],[Src Text]])),"link","file")</f>
        <v>link</v>
      </c>
      <c r="E19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https://lab1-1b18.lab.innoveo.cloud/resources/117.chunk.0afc6605f9.css"/&gt;</v>
      </c>
      <c r="F19" s="2" t="str">
        <f>LEFT(Table2[[#This Row],[Right]],FIND(E$1,Table2[[#This Row],[Right]])-1)</f>
        <v>https://lab1-1b18.lab.innoveo.cloud/resources/117.chunk.0afc6605f9.css</v>
      </c>
      <c r="G19" s="2" t="b">
        <f>ISNUMBER(SEARCH("innoveo",Table2[[#This Row],[Src Text]]))</f>
        <v>1</v>
      </c>
      <c r="H19" s="2" t="s">
        <v>39</v>
      </c>
      <c r="I19" s="2" t="s">
        <v>76</v>
      </c>
      <c r="J19" s="1" t="s">
        <v>32</v>
      </c>
      <c r="K19" s="2"/>
    </row>
    <row r="20" spans="2:11" x14ac:dyDescent="0.35">
      <c r="B20" s="1" t="s">
        <v>17</v>
      </c>
      <c r="C20" s="2">
        <v>48</v>
      </c>
      <c r="D20" s="3" t="str">
        <f>IF(ISNUMBER(FIND("http",Table2[[#This Row],[Src Text]])),"link","file")</f>
        <v>link</v>
      </c>
      <c r="E20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https://lab1-1b18.lab.innoveo.cloud/resources/8587.chunk.0afc6605f9.css"/&gt;</v>
      </c>
      <c r="F20" s="2" t="str">
        <f>LEFT(Table2[[#This Row],[Right]],FIND(E$1,Table2[[#This Row],[Right]])-1)</f>
        <v>https://lab1-1b18.lab.innoveo.cloud/resources/8587.chunk.0afc6605f9.css</v>
      </c>
      <c r="G20" s="2" t="b">
        <f>ISNUMBER(SEARCH("innoveo",Table2[[#This Row],[Src Text]]))</f>
        <v>1</v>
      </c>
      <c r="H20" s="2" t="s">
        <v>42</v>
      </c>
      <c r="I20" s="2" t="s">
        <v>76</v>
      </c>
      <c r="J20" s="1" t="s">
        <v>32</v>
      </c>
      <c r="K20" s="2"/>
    </row>
    <row r="21" spans="2:11" x14ac:dyDescent="0.35">
      <c r="B21" s="1" t="s">
        <v>18</v>
      </c>
      <c r="C21" s="2">
        <v>49</v>
      </c>
      <c r="D21" s="3" t="str">
        <f>IF(ISNUMBER(FIND("http",Table2[[#This Row],[Src Text]])),"link","file")</f>
        <v>link</v>
      </c>
      <c r="E21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https://lab1-1b18.lab.innoveo.cloud/resources/6062.chunk.0afc6605f9.css"/&gt;</v>
      </c>
      <c r="F21" s="2" t="str">
        <f>LEFT(Table2[[#This Row],[Right]],FIND(E$1,Table2[[#This Row],[Right]])-1)</f>
        <v>https://lab1-1b18.lab.innoveo.cloud/resources/6062.chunk.0afc6605f9.css</v>
      </c>
      <c r="G21" s="2" t="b">
        <f>ISNUMBER(SEARCH("innoveo",Table2[[#This Row],[Src Text]]))</f>
        <v>1</v>
      </c>
      <c r="H21" s="2" t="s">
        <v>41</v>
      </c>
      <c r="I21" s="2" t="s">
        <v>76</v>
      </c>
      <c r="J21" s="1" t="s">
        <v>32</v>
      </c>
      <c r="K21" s="2"/>
    </row>
    <row r="22" spans="2:11" x14ac:dyDescent="0.35">
      <c r="B22" s="1" t="s">
        <v>19</v>
      </c>
      <c r="C22" s="2">
        <v>52</v>
      </c>
      <c r="D22" s="3" t="str">
        <f>IF(ISNUMBER(FIND("http",Table2[[#This Row],[Src Text]])),"link","file")</f>
        <v>link</v>
      </c>
      <c r="E22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https://lab1-1b18.lab.innoveo.cloud/resources/5513.chunk.0afc6605f9.css"/&gt;</v>
      </c>
      <c r="F22" s="2" t="str">
        <f>LEFT(Table2[[#This Row],[Right]],FIND(E$1,Table2[[#This Row],[Right]])-1)</f>
        <v>https://lab1-1b18.lab.innoveo.cloud/resources/5513.chunk.0afc6605f9.css</v>
      </c>
      <c r="G22" s="2" t="b">
        <f>ISNUMBER(SEARCH("innoveo",Table2[[#This Row],[Src Text]]))</f>
        <v>1</v>
      </c>
      <c r="H22" s="2" t="s">
        <v>40</v>
      </c>
      <c r="I22" s="2" t="s">
        <v>76</v>
      </c>
      <c r="J22" s="1" t="s">
        <v>32</v>
      </c>
      <c r="K22" s="2"/>
    </row>
    <row r="23" spans="2:11" x14ac:dyDescent="0.35">
      <c r="B23" s="1" t="s">
        <v>20</v>
      </c>
      <c r="C23" s="2">
        <v>63</v>
      </c>
      <c r="D23" s="3" t="str">
        <f>IF(ISNUMBER(FIND("http",Table2[[#This Row],[Src Text]])),"link","file")</f>
        <v>link</v>
      </c>
      <c r="E23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https://lab1-1b18.lab.innoveo.cloud/resources/definition/zonedefinition/ZoneDefinition/en/us/Kemper_Logo_Color_Web__1692172077000.jpg" alt="Primary logo" title="Primary logo"/&gt;</v>
      </c>
      <c r="F23" s="2" t="str">
        <f>LEFT(Table2[[#This Row],[Right]],FIND(E$1,Table2[[#This Row],[Right]])-1)</f>
        <v>https://lab1-1b18.lab.innoveo.cloud/resources/definition/zonedefinition/ZoneDefinition/en/us/Kemper_Logo_Color_Web__1692172077000.jpg</v>
      </c>
      <c r="G23" s="2" t="b">
        <f>ISNUMBER(SEARCH("innoveo",Table2[[#This Row],[Src Text]]))</f>
        <v>1</v>
      </c>
      <c r="H23" s="2" t="s">
        <v>49</v>
      </c>
      <c r="I23" s="2" t="s">
        <v>85</v>
      </c>
      <c r="J23" s="1" t="s">
        <v>34</v>
      </c>
      <c r="K23" s="2" t="s">
        <v>80</v>
      </c>
    </row>
    <row r="24" spans="2:11" x14ac:dyDescent="0.35">
      <c r="B24" s="1" t="s">
        <v>71</v>
      </c>
      <c r="C24" s="2">
        <v>64</v>
      </c>
      <c r="D24" s="3" t="str">
        <f>IF(ISNUMBER(FIND("http",Table2[[#This Row],[Src Text]])),"link","file")</f>
        <v>link</v>
      </c>
      <c r="E24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https://lab1-1b18.lab.innoveo.cloud/resources/definition/zonedefinition/ZoneDefinition/en/us/Kemper_Logo_Color_Web__1692172077000.jpg" alt="Secondary logo" title="Secondary logo"/&gt;</v>
      </c>
      <c r="F24" s="2" t="str">
        <f>LEFT(Table2[[#This Row],[Right]],FIND(E$1,Table2[[#This Row],[Right]])-1)</f>
        <v>https://lab1-1b18.lab.innoveo.cloud/resources/definition/zonedefinition/ZoneDefinition/en/us/Kemper_Logo_Color_Web__1692172077000.jpg</v>
      </c>
      <c r="G24" s="2" t="b">
        <f>ISNUMBER(SEARCH("innoveo",Table2[[#This Row],[Src Text]]))</f>
        <v>1</v>
      </c>
      <c r="H24" s="2" t="s">
        <v>49</v>
      </c>
      <c r="I24" s="2" t="s">
        <v>85</v>
      </c>
      <c r="J24" s="1" t="s">
        <v>34</v>
      </c>
      <c r="K24" s="2" t="s">
        <v>81</v>
      </c>
    </row>
    <row r="25" spans="2:11" x14ac:dyDescent="0.35">
      <c r="B25" s="1" t="s">
        <v>21</v>
      </c>
      <c r="C25" s="2">
        <v>107</v>
      </c>
      <c r="D25" s="3" t="str">
        <f>IF(ISNUMBER(FIND("http",Table2[[#This Row],[Src Text]])),"link","file")</f>
        <v>file</v>
      </c>
      <c r="E25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/resources/theme/freetextsearch/search-image.svg" alt="Search image"/&gt;</v>
      </c>
      <c r="F25" s="2" t="str">
        <f>LEFT(Table2[[#This Row],[Right]],FIND(E$1,Table2[[#This Row],[Right]])-1)</f>
        <v>/resources/theme/freetextsearch/search-image.svg</v>
      </c>
      <c r="G25" s="2" t="b">
        <f>ISNUMBER(SEARCH("innoveo",Table2[[#This Row],[Src Text]]))</f>
        <v>0</v>
      </c>
      <c r="H25" s="2" t="s">
        <v>62</v>
      </c>
      <c r="I25" s="2" t="s">
        <v>85</v>
      </c>
      <c r="J25" s="1" t="s">
        <v>34</v>
      </c>
      <c r="K25" s="2" t="s">
        <v>82</v>
      </c>
    </row>
    <row r="26" spans="2:11" x14ac:dyDescent="0.35">
      <c r="B26" s="1" t="s">
        <v>22</v>
      </c>
      <c r="C26" s="2">
        <v>114</v>
      </c>
      <c r="D26" s="3" t="str">
        <f>IF(ISNUMBER(FIND("http",Table2[[#This Row],[Src Text]])),"link","file")</f>
        <v>link</v>
      </c>
      <c r="E26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https://lab1-1b18.lab.innoveo.cloud/experiment/en/US/idpLogout" title="" tabindex="-1"&gt;</v>
      </c>
      <c r="F26" s="2" t="str">
        <f>LEFT(Table2[[#This Row],[Right]],FIND(E$1,Table2[[#This Row],[Right]])-1)</f>
        <v>https://lab1-1b18.lab.innoveo.cloud/experiment/en/US/idpLogout</v>
      </c>
      <c r="G26" s="2" t="b">
        <f>ISNUMBER(SEARCH("innoveo",Table2[[#This Row],[Src Text]]))</f>
        <v>1</v>
      </c>
      <c r="H26" s="2" t="s">
        <v>37</v>
      </c>
      <c r="I26" s="2" t="s">
        <v>85</v>
      </c>
      <c r="J26" s="1" t="s">
        <v>66</v>
      </c>
      <c r="K26" s="2"/>
    </row>
    <row r="27" spans="2:11" x14ac:dyDescent="0.35">
      <c r="B27" s="1" t="s">
        <v>23</v>
      </c>
      <c r="C27" s="2">
        <v>150</v>
      </c>
      <c r="D27" s="3" t="str">
        <f>IF(ISNUMBER(FIND("http",Table2[[#This Row],[Src Text]])),"link","file")</f>
        <v>link</v>
      </c>
      <c r="E27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https://lab1-1b18.lab.innoveo.cloud/page/experiment/en/us/process/enter/KemperGenAIProcess?productId=KemperGenAIProduct&amp;amp;activeZone=MyZone"&gt;</v>
      </c>
      <c r="F27" s="2" t="str">
        <f>LEFT(Table2[[#This Row],[Right]],FIND(E$1,Table2[[#This Row],[Right]])-1)</f>
        <v>https://lab1-1b18.lab.innoveo.cloud/page/experiment/en/us/process/enter/KemperGenAIProcess?productId=KemperGenAIProduct&amp;amp;activeZone=MyZone</v>
      </c>
      <c r="G27" s="2" t="b">
        <f>ISNUMBER(SEARCH("innoveo",Table2[[#This Row],[Src Text]]))</f>
        <v>1</v>
      </c>
      <c r="H27" s="2" t="s">
        <v>38</v>
      </c>
      <c r="I27" s="2"/>
      <c r="J27" s="1" t="s">
        <v>32</v>
      </c>
      <c r="K27" s="2"/>
    </row>
    <row r="28" spans="2:11" x14ac:dyDescent="0.35">
      <c r="B28" s="1" t="s">
        <v>24</v>
      </c>
      <c r="C28" s="2">
        <v>423</v>
      </c>
      <c r="D28" s="3" t="str">
        <f>IF(ISNUMBER(FIND("http",Table2[[#This Row],[Src Text]])),"link","file")</f>
        <v>link</v>
      </c>
      <c r="E28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https://lab1-1b18.lab.innoveo.cloud/resources/definition/product/KemperGenAIProduct/en/us/TableDivider__1692170509000.png" alt="Sea"/&gt;</v>
      </c>
      <c r="F28" s="2" t="str">
        <f>LEFT(Table2[[#This Row],[Right]],FIND(E$1,Table2[[#This Row],[Right]])-1)</f>
        <v>https://lab1-1b18.lab.innoveo.cloud/resources/definition/product/KemperGenAIProduct/en/us/TableDivider__1692170509000.png</v>
      </c>
      <c r="G28" s="2" t="b">
        <f>ISNUMBER(SEARCH("innoveo",Table2[[#This Row],[Src Text]]))</f>
        <v>1</v>
      </c>
      <c r="H28" s="2" t="s">
        <v>48</v>
      </c>
      <c r="I28" s="2"/>
      <c r="J28" s="1" t="s">
        <v>34</v>
      </c>
      <c r="K28" s="2" t="s">
        <v>84</v>
      </c>
    </row>
    <row r="29" spans="2:11" x14ac:dyDescent="0.35">
      <c r="B29" s="1" t="s">
        <v>25</v>
      </c>
      <c r="C29" s="2">
        <v>722</v>
      </c>
      <c r="D29" s="3" t="str">
        <f>IF(ISNUMBER(FIND("http",Table2[[#This Row],[Src Text]])),"link","file")</f>
        <v>link</v>
      </c>
      <c r="E29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https://cdnjs.cloudflare.com/ajax/libs/font-awesome/4.7.0/css/font-awesome.min.css"/&gt;</v>
      </c>
      <c r="F29" s="2" t="str">
        <f>LEFT(Table2[[#This Row],[Right]],FIND(E$1,Table2[[#This Row],[Right]])-1)</f>
        <v>https://cdnjs.cloudflare.com/ajax/libs/font-awesome/4.7.0/css/font-awesome.min.css</v>
      </c>
      <c r="G29" s="2" t="b">
        <f>ISNUMBER(SEARCH("innoveo",Table2[[#This Row],[Src Text]]))</f>
        <v>0</v>
      </c>
      <c r="H29" s="2" t="s">
        <v>36</v>
      </c>
      <c r="I29" s="2"/>
      <c r="J29" s="1" t="s">
        <v>32</v>
      </c>
      <c r="K29" s="2"/>
    </row>
    <row r="30" spans="2:11" x14ac:dyDescent="0.35">
      <c r="B30" s="1" t="s">
        <v>26</v>
      </c>
      <c r="C30" s="2">
        <v>733</v>
      </c>
      <c r="D30" s="3" t="str">
        <f>IF(ISNUMBER(FIND("http",Table2[[#This Row],[Src Text]])),"link","file")</f>
        <v>link</v>
      </c>
      <c r="E30" s="2" t="str">
        <f>IF(Table2[[#This Row],[Link /File]]="link",RIGHT(Table2[[#This Row],[Src Text]], (LEN(Table2[[#This Row],[Src Text]])-FIND("http",Table2[[#This Row],[Src Text]])+1)),RIGHT(Table2[[#This Row],[Src Text]], (LEN(Table2[[#This Row],[Src Text]])-FIND("/r",Table2[[#This Row],[Src Text]])+1)))</f>
        <v>https://lab1-1b18.lab.innoveo.cloud/resources/definition/product/KemperGenAIProduct/en/us/Sea__1692170509000.jpg" alt="Sea"/&gt;</v>
      </c>
      <c r="F30" s="2" t="str">
        <f>LEFT(Table2[[#This Row],[Right]],FIND(E$1,Table2[[#This Row],[Right]])-1)</f>
        <v>https://lab1-1b18.lab.innoveo.cloud/resources/definition/product/KemperGenAIProduct/en/us/Sea__1692170509000.jpg</v>
      </c>
      <c r="G30" s="2" t="b">
        <f>ISNUMBER(SEARCH("innoveo",Table2[[#This Row],[Src Text]]))</f>
        <v>1</v>
      </c>
      <c r="H30" s="2" t="s">
        <v>47</v>
      </c>
      <c r="I30" s="2"/>
      <c r="J30" s="1" t="s">
        <v>34</v>
      </c>
      <c r="K30" s="2" t="s">
        <v>83</v>
      </c>
    </row>
  </sheetData>
  <conditionalFormatting sqref="G3:G30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D3:D30">
    <cfRule type="cellIs" dxfId="0" priority="2" operator="equal">
      <formula>"file"</formula>
    </cfRule>
    <cfRule type="cellIs" dxfId="1" priority="1" operator="equal">
      <formula>"link"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199E6-7940-4398-B8E8-9B0D8D9FF6A4}">
  <sheetPr codeName="Sheet2"/>
  <dimension ref="A1:D4"/>
  <sheetViews>
    <sheetView workbookViewId="0">
      <selection activeCell="E10" sqref="E10"/>
    </sheetView>
  </sheetViews>
  <sheetFormatPr defaultRowHeight="14.5" x14ac:dyDescent="0.35"/>
  <cols>
    <col min="2" max="2" width="10.1796875" customWidth="1"/>
  </cols>
  <sheetData>
    <row r="1" spans="1:4" x14ac:dyDescent="0.35">
      <c r="A1" s="4" t="s">
        <v>70</v>
      </c>
      <c r="B1" s="7">
        <f>COUNTA(Table3[Find Line])</f>
        <v>2</v>
      </c>
      <c r="C1" s="5" t="s">
        <v>74</v>
      </c>
      <c r="D1" s="6" t="s">
        <v>75</v>
      </c>
    </row>
    <row r="2" spans="1:4" x14ac:dyDescent="0.35">
      <c r="B2" t="s">
        <v>72</v>
      </c>
      <c r="C2" t="s">
        <v>73</v>
      </c>
    </row>
    <row r="3" spans="1:4" x14ac:dyDescent="0.35">
      <c r="B3" t="s">
        <v>76</v>
      </c>
      <c r="C3">
        <v>2</v>
      </c>
    </row>
    <row r="4" spans="1:4" x14ac:dyDescent="0.35">
      <c r="B4" t="s">
        <v>77</v>
      </c>
      <c r="C4">
        <v>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27527A-BF8D-4C33-BC5A-029761DE8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Generic Line Reader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Andrew</dc:creator>
  <cp:lastModifiedBy>Hall, Andrew</cp:lastModifiedBy>
  <dcterms:created xsi:type="dcterms:W3CDTF">2023-08-17T17:31:29Z</dcterms:created>
  <dcterms:modified xsi:type="dcterms:W3CDTF">2023-08-17T22:07:44Z</dcterms:modified>
</cp:coreProperties>
</file>